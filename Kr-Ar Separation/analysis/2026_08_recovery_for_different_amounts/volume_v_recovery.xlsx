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mayakut/Desktop/Physik/MA/Kr-Ar Separation/analysis/2026_08_recovery_for_different_amounts/"/>
    </mc:Choice>
  </mc:AlternateContent>
  <xr:revisionPtr revIDLastSave="0" documentId="13_ncr:1_{126E1AB5-941D-934A-BB1E-FB46506ECEB7}" xr6:coauthVersionLast="47" xr6:coauthVersionMax="47" xr10:uidLastSave="{00000000-0000-0000-0000-000000000000}"/>
  <bookViews>
    <workbookView xWindow="980" yWindow="600" windowWidth="23280" windowHeight="17400" activeTab="1" xr2:uid="{8B558523-AAC9-124C-AA38-7CB1369EC6B4}"/>
  </bookViews>
  <sheets>
    <sheet name="volume_v_recovery" sheetId="1" r:id="rId1"/>
    <sheet name="volume_v_recovery_adjus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5" i="2" l="1"/>
  <c r="H36" i="2"/>
  <c r="H37" i="2"/>
  <c r="H38" i="2"/>
  <c r="I38" i="2" s="1"/>
  <c r="H39" i="2"/>
  <c r="I39" i="2" s="1"/>
  <c r="H40" i="2"/>
  <c r="I40" i="2" s="1"/>
  <c r="H41" i="2"/>
  <c r="I41" i="2" s="1"/>
  <c r="H42" i="2"/>
  <c r="I42" i="2" s="1"/>
  <c r="H43" i="2"/>
  <c r="H44" i="2"/>
  <c r="H34" i="2"/>
  <c r="P35" i="2"/>
  <c r="P36" i="2"/>
  <c r="Q36" i="2" s="1"/>
  <c r="P37" i="2"/>
  <c r="Q37" i="2" s="1"/>
  <c r="S37" i="2" s="1"/>
  <c r="P38" i="2"/>
  <c r="Q38" i="2" s="1"/>
  <c r="P39" i="2"/>
  <c r="Q39" i="2" s="1"/>
  <c r="P40" i="2"/>
  <c r="Q40" i="2" s="1"/>
  <c r="P41" i="2"/>
  <c r="Q41" i="2" s="1"/>
  <c r="P42" i="2"/>
  <c r="Q42" i="2" s="1"/>
  <c r="P43" i="2"/>
  <c r="P44" i="2"/>
  <c r="P34" i="2"/>
  <c r="Q34" i="2" s="1"/>
  <c r="R34" i="2"/>
  <c r="I34" i="2"/>
  <c r="R39" i="2"/>
  <c r="R35" i="2"/>
  <c r="R36" i="2"/>
  <c r="R37" i="2"/>
  <c r="R38" i="2"/>
  <c r="R40" i="2"/>
  <c r="R41" i="2"/>
  <c r="R42" i="2"/>
  <c r="R43" i="2"/>
  <c r="R44" i="2"/>
  <c r="Q35" i="2"/>
  <c r="Q43" i="2"/>
  <c r="Q44" i="2"/>
  <c r="I35" i="2"/>
  <c r="I36" i="2"/>
  <c r="I37" i="2"/>
  <c r="I43" i="2"/>
  <c r="S43" i="2" s="1"/>
  <c r="I44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G35" i="2"/>
  <c r="G36" i="2"/>
  <c r="G37" i="2"/>
  <c r="G38" i="2"/>
  <c r="G39" i="2"/>
  <c r="G40" i="2"/>
  <c r="G41" i="2"/>
  <c r="G42" i="2"/>
  <c r="G43" i="2"/>
  <c r="G44" i="2"/>
  <c r="G34" i="2"/>
  <c r="F35" i="2"/>
  <c r="F36" i="2"/>
  <c r="F37" i="2"/>
  <c r="F38" i="2"/>
  <c r="F39" i="2"/>
  <c r="F40" i="2"/>
  <c r="F41" i="2"/>
  <c r="F42" i="2"/>
  <c r="F43" i="2"/>
  <c r="F44" i="2"/>
  <c r="F34" i="2"/>
  <c r="S36" i="2" l="1"/>
  <c r="S42" i="2"/>
  <c r="T42" i="2" s="1"/>
  <c r="S38" i="2"/>
  <c r="T38" i="2" s="1"/>
  <c r="S41" i="2"/>
  <c r="T41" i="2" s="1"/>
  <c r="S39" i="2"/>
  <c r="T39" i="2" s="1"/>
  <c r="S44" i="2"/>
  <c r="T44" i="2" s="1"/>
  <c r="S35" i="2"/>
  <c r="T35" i="2" s="1"/>
  <c r="S40" i="2"/>
  <c r="T40" i="2" s="1"/>
  <c r="S34" i="2"/>
  <c r="T34" i="2" s="1"/>
  <c r="T37" i="2"/>
  <c r="T36" i="2"/>
  <c r="T43" i="2"/>
  <c r="L17" i="2"/>
  <c r="M18" i="2"/>
  <c r="M19" i="2"/>
  <c r="M20" i="2"/>
  <c r="M21" i="2"/>
  <c r="M22" i="2"/>
  <c r="M23" i="2"/>
  <c r="M24" i="2"/>
  <c r="M25" i="2"/>
  <c r="M26" i="2"/>
  <c r="M27" i="2"/>
  <c r="M17" i="2"/>
  <c r="L18" i="2"/>
  <c r="L20" i="2"/>
  <c r="L21" i="2"/>
  <c r="L22" i="2"/>
  <c r="L23" i="2"/>
  <c r="L24" i="2"/>
  <c r="L25" i="2"/>
  <c r="L26" i="2"/>
  <c r="L27" i="2"/>
  <c r="K18" i="2"/>
  <c r="K19" i="2"/>
  <c r="K20" i="2"/>
  <c r="K21" i="2"/>
  <c r="K22" i="2"/>
  <c r="K23" i="2"/>
  <c r="K24" i="2"/>
  <c r="K25" i="2"/>
  <c r="K26" i="2"/>
  <c r="K27" i="2"/>
  <c r="K17" i="2"/>
  <c r="I18" i="2"/>
  <c r="I19" i="2"/>
  <c r="I20" i="2"/>
  <c r="I21" i="2"/>
  <c r="I22" i="2"/>
  <c r="I23" i="2"/>
  <c r="I24" i="2"/>
  <c r="I25" i="2"/>
  <c r="I26" i="2"/>
  <c r="I27" i="2"/>
  <c r="I17" i="2"/>
  <c r="E12" i="2"/>
  <c r="G12" i="2" s="1"/>
  <c r="H12" i="2" s="1"/>
  <c r="E11" i="2"/>
  <c r="G11" i="2" s="1"/>
  <c r="H11" i="2" s="1"/>
  <c r="E10" i="2"/>
  <c r="G10" i="2" s="1"/>
  <c r="H10" i="2" s="1"/>
  <c r="E9" i="2"/>
  <c r="G9" i="2" s="1"/>
  <c r="H9" i="2" s="1"/>
  <c r="E8" i="2"/>
  <c r="G8" i="2" s="1"/>
  <c r="H8" i="2" s="1"/>
  <c r="E7" i="2"/>
  <c r="G7" i="2" s="1"/>
  <c r="H7" i="2" s="1"/>
  <c r="E6" i="2"/>
  <c r="G6" i="2" s="1"/>
  <c r="H6" i="2" s="1"/>
  <c r="E5" i="2"/>
  <c r="G5" i="2" s="1"/>
  <c r="H5" i="2" s="1"/>
  <c r="E4" i="2"/>
  <c r="G4" i="2" s="1"/>
  <c r="H4" i="2" s="1"/>
  <c r="E3" i="2"/>
  <c r="G3" i="2" s="1"/>
  <c r="H3" i="2" s="1"/>
  <c r="E2" i="2"/>
  <c r="G2" i="2" s="1"/>
  <c r="H2" i="2" s="1"/>
  <c r="C2" i="1"/>
  <c r="C3" i="1"/>
  <c r="C5" i="1"/>
  <c r="C6" i="1"/>
  <c r="C7" i="1"/>
  <c r="C8" i="1"/>
  <c r="C9" i="1"/>
  <c r="C10" i="1"/>
  <c r="C11" i="1"/>
  <c r="C12" i="1"/>
  <c r="C4" i="1"/>
  <c r="L19" i="2" l="1"/>
  <c r="N24" i="2"/>
  <c r="N22" i="2"/>
  <c r="N23" i="2"/>
  <c r="N21" i="2"/>
  <c r="N17" i="2"/>
  <c r="N20" i="2"/>
  <c r="N27" i="2"/>
  <c r="N19" i="2"/>
  <c r="N26" i="2"/>
  <c r="N18" i="2"/>
  <c r="N25" i="2"/>
</calcChain>
</file>

<file path=xl/sharedStrings.xml><?xml version="1.0" encoding="utf-8"?>
<sst xmlns="http://schemas.openxmlformats.org/spreadsheetml/2006/main" count="85" uniqueCount="51">
  <si>
    <t>Recovery</t>
  </si>
  <si>
    <t>Input</t>
  </si>
  <si>
    <t>Output</t>
  </si>
  <si>
    <t>H2 Ratio</t>
  </si>
  <si>
    <t>H2 Ratio/7</t>
  </si>
  <si>
    <t>Output Kr</t>
  </si>
  <si>
    <t>Input Kr</t>
  </si>
  <si>
    <t>Replica 1</t>
  </si>
  <si>
    <t>Replica 2</t>
  </si>
  <si>
    <t>Replica 3</t>
  </si>
  <si>
    <t>Replica 10</t>
  </si>
  <si>
    <t>Replica 9</t>
  </si>
  <si>
    <t>Replica 4</t>
  </si>
  <si>
    <t>Replica 5</t>
  </si>
  <si>
    <t>Replica 6</t>
  </si>
  <si>
    <t>Replica 7</t>
  </si>
  <si>
    <t>Replica 8</t>
  </si>
  <si>
    <t>Output + 6/7*H2</t>
  </si>
  <si>
    <t>Total Gas Out</t>
  </si>
  <si>
    <t>Kr in</t>
  </si>
  <si>
    <t>1/7 H2 in</t>
  </si>
  <si>
    <t>1/7 H2 out</t>
  </si>
  <si>
    <t>Kr out</t>
  </si>
  <si>
    <t>Total out</t>
  </si>
  <si>
    <t>Total in</t>
  </si>
  <si>
    <t>H2 ratio out</t>
  </si>
  <si>
    <t>H2 ratio in</t>
  </si>
  <si>
    <t>Kr out 2</t>
  </si>
  <si>
    <t>Kr in 2</t>
  </si>
  <si>
    <t>Kr in ratio</t>
  </si>
  <si>
    <t>Kr out ratio</t>
  </si>
  <si>
    <t>p1</t>
  </si>
  <si>
    <t>Kr1 [%]</t>
  </si>
  <si>
    <t xml:space="preserve">H2_1 [%] </t>
  </si>
  <si>
    <t>p2</t>
  </si>
  <si>
    <t>Kr2 [%]</t>
  </si>
  <si>
    <t xml:space="preserve">H2_2 [%] </t>
  </si>
  <si>
    <t>total in</t>
  </si>
  <si>
    <t>total out</t>
  </si>
  <si>
    <t>p1_</t>
  </si>
  <si>
    <t>p2_</t>
  </si>
  <si>
    <t>Kr_ out</t>
  </si>
  <si>
    <t>Kr_ in</t>
  </si>
  <si>
    <t>Kr_ [%]</t>
  </si>
  <si>
    <t>Kr2_ [%]</t>
  </si>
  <si>
    <t>recovery in %</t>
  </si>
  <si>
    <t>recovery_ in %</t>
  </si>
  <si>
    <t>difference in %</t>
  </si>
  <si>
    <t xml:space="preserve"> </t>
  </si>
  <si>
    <t>He [%] in</t>
  </si>
  <si>
    <t>He [%]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</si>
</sst>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0" fontId="0" fillId="2" borderId="0" xfId="0" applyFill="1"/>
    <xf numFmtId="43" fontId="0" fillId="3" borderId="0" xfId="1" applyFont="1" applyFill="1"/>
    <xf numFmtId="0" fontId="0" fillId="3" borderId="0" xfId="0" applyFill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3FFA4"/>
      <color rgb="FFFFE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6943-E863-3346-BACF-2F2A8579B803}">
  <dimension ref="A1:C12"/>
  <sheetViews>
    <sheetView workbookViewId="0">
      <selection sqref="A1:B12"/>
    </sheetView>
  </sheetViews>
  <sheetFormatPr baseColWidth="10" defaultRowHeight="16" x14ac:dyDescent="0.2"/>
  <sheetData>
    <row r="1" spans="1:3" x14ac:dyDescent="0.2">
      <c r="A1" s="1" t="s">
        <v>1</v>
      </c>
      <c r="B1" s="1" t="s">
        <v>2</v>
      </c>
      <c r="C1" t="s">
        <v>0</v>
      </c>
    </row>
    <row r="2" spans="1:3" x14ac:dyDescent="0.2">
      <c r="A2">
        <v>0.51</v>
      </c>
      <c r="B2">
        <v>0.46</v>
      </c>
      <c r="C2">
        <f t="shared" ref="C2:C3" si="0">B2/A2</f>
        <v>0.90196078431372551</v>
      </c>
    </row>
    <row r="3" spans="1:3" x14ac:dyDescent="0.2">
      <c r="A3">
        <v>0.9</v>
      </c>
      <c r="B3">
        <v>13.01</v>
      </c>
      <c r="C3">
        <f t="shared" si="0"/>
        <v>14.455555555555556</v>
      </c>
    </row>
    <row r="4" spans="1:3" x14ac:dyDescent="0.2">
      <c r="A4">
        <v>2.77</v>
      </c>
      <c r="B4">
        <v>1.81</v>
      </c>
      <c r="C4">
        <f>B4/A4</f>
        <v>0.6534296028880866</v>
      </c>
    </row>
    <row r="5" spans="1:3" x14ac:dyDescent="0.2">
      <c r="A5">
        <v>4.7300000000000004</v>
      </c>
      <c r="B5">
        <v>3.47</v>
      </c>
      <c r="C5">
        <f t="shared" ref="C5:C12" si="1">B5/A5</f>
        <v>0.73361522198731499</v>
      </c>
    </row>
    <row r="6" spans="1:3" x14ac:dyDescent="0.2">
      <c r="A6">
        <v>5.51</v>
      </c>
      <c r="B6">
        <v>3.42</v>
      </c>
      <c r="C6">
        <f t="shared" si="1"/>
        <v>0.62068965517241381</v>
      </c>
    </row>
    <row r="7" spans="1:3" x14ac:dyDescent="0.2">
      <c r="A7">
        <v>8.6999999999999993</v>
      </c>
      <c r="B7">
        <v>13.54</v>
      </c>
      <c r="C7">
        <f t="shared" si="1"/>
        <v>1.5563218390804598</v>
      </c>
    </row>
    <row r="8" spans="1:3" x14ac:dyDescent="0.2">
      <c r="A8">
        <v>9.11</v>
      </c>
      <c r="B8">
        <v>5.22</v>
      </c>
      <c r="C8">
        <f t="shared" si="1"/>
        <v>0.57299670691547755</v>
      </c>
    </row>
    <row r="9" spans="1:3" x14ac:dyDescent="0.2">
      <c r="A9">
        <v>9.8800000000000008</v>
      </c>
      <c r="B9">
        <v>9.14</v>
      </c>
      <c r="C9">
        <f t="shared" si="1"/>
        <v>0.9251012145748988</v>
      </c>
    </row>
    <row r="10" spans="1:3" x14ac:dyDescent="0.2">
      <c r="A10">
        <v>15.8</v>
      </c>
      <c r="B10">
        <v>15.63</v>
      </c>
      <c r="C10">
        <f t="shared" si="1"/>
        <v>0.98924050632911398</v>
      </c>
    </row>
    <row r="11" spans="1:3" x14ac:dyDescent="0.2">
      <c r="A11">
        <v>20.21</v>
      </c>
      <c r="B11">
        <v>18.55</v>
      </c>
      <c r="C11">
        <f t="shared" si="1"/>
        <v>0.91786244433448783</v>
      </c>
    </row>
    <row r="12" spans="1:3" x14ac:dyDescent="0.2">
      <c r="A12">
        <v>22.11</v>
      </c>
      <c r="B12">
        <v>21.4</v>
      </c>
      <c r="C12">
        <f t="shared" si="1"/>
        <v>0.96788783355947527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AB1A-2BFC-674F-8971-6B4457BC2F49}">
  <dimension ref="A1:X56"/>
  <sheetViews>
    <sheetView tabSelected="1" topLeftCell="A6" zoomScale="57" workbookViewId="0">
      <selection activeCell="A33" sqref="A33:T44"/>
    </sheetView>
  </sheetViews>
  <sheetFormatPr baseColWidth="10" defaultRowHeight="16" x14ac:dyDescent="0.2"/>
  <sheetData>
    <row r="1" spans="1:14" x14ac:dyDescent="0.2">
      <c r="B1" s="1" t="s">
        <v>6</v>
      </c>
      <c r="C1" s="1" t="s">
        <v>5</v>
      </c>
      <c r="D1" t="s">
        <v>3</v>
      </c>
      <c r="E1" t="s">
        <v>4</v>
      </c>
      <c r="F1" t="s">
        <v>18</v>
      </c>
      <c r="G1" t="s">
        <v>17</v>
      </c>
      <c r="H1" t="s">
        <v>0</v>
      </c>
    </row>
    <row r="2" spans="1:14" x14ac:dyDescent="0.2">
      <c r="A2" t="s">
        <v>13</v>
      </c>
      <c r="B2">
        <v>0.48</v>
      </c>
      <c r="C2">
        <v>0.46</v>
      </c>
      <c r="D2">
        <v>0.48899999999999999</v>
      </c>
      <c r="E2">
        <f>D2/7</f>
        <v>6.9857142857142854E-2</v>
      </c>
      <c r="F2">
        <v>1.79</v>
      </c>
      <c r="G2">
        <f t="shared" ref="G2:G12" si="0">C2+(D2-E2)*F2</f>
        <v>1.2102657142857143</v>
      </c>
      <c r="H2">
        <f t="shared" ref="H2:H12" si="1">G2/B2</f>
        <v>2.5213869047619046</v>
      </c>
    </row>
    <row r="3" spans="1:14" x14ac:dyDescent="0.2">
      <c r="B3">
        <v>1.01</v>
      </c>
      <c r="C3">
        <v>13.01</v>
      </c>
      <c r="D3">
        <v>0.219</v>
      </c>
      <c r="E3">
        <f t="shared" ref="E3:E12" si="2">D3/7</f>
        <v>3.1285714285714285E-2</v>
      </c>
      <c r="F3">
        <v>20.48</v>
      </c>
      <c r="G3">
        <f t="shared" si="0"/>
        <v>16.854388571428572</v>
      </c>
      <c r="H3">
        <f t="shared" si="1"/>
        <v>16.687513437057991</v>
      </c>
    </row>
    <row r="4" spans="1:14" x14ac:dyDescent="0.2">
      <c r="A4" t="s">
        <v>10</v>
      </c>
      <c r="B4">
        <v>2.77</v>
      </c>
      <c r="C4">
        <v>1.79</v>
      </c>
      <c r="D4">
        <v>0.29599999999999999</v>
      </c>
      <c r="E4">
        <f t="shared" si="2"/>
        <v>4.2285714285714281E-2</v>
      </c>
      <c r="F4">
        <v>3.5</v>
      </c>
      <c r="G4">
        <f t="shared" si="0"/>
        <v>2.6779999999999999</v>
      </c>
      <c r="H4">
        <f t="shared" si="1"/>
        <v>0.96678700361010828</v>
      </c>
    </row>
    <row r="5" spans="1:14" x14ac:dyDescent="0.2">
      <c r="A5" t="s">
        <v>14</v>
      </c>
      <c r="B5">
        <v>4.7300000000000004</v>
      </c>
      <c r="C5">
        <v>3.44</v>
      </c>
      <c r="D5">
        <v>0.156</v>
      </c>
      <c r="E5">
        <f t="shared" si="2"/>
        <v>2.2285714285714287E-2</v>
      </c>
      <c r="F5">
        <v>5.3460000000000001</v>
      </c>
      <c r="G5">
        <f t="shared" si="0"/>
        <v>4.1548365714285715</v>
      </c>
      <c r="H5">
        <f t="shared" si="1"/>
        <v>0.87840096647538501</v>
      </c>
    </row>
    <row r="6" spans="1:14" x14ac:dyDescent="0.2">
      <c r="A6" t="s">
        <v>11</v>
      </c>
      <c r="B6">
        <v>5.53</v>
      </c>
      <c r="C6">
        <v>3.39</v>
      </c>
      <c r="D6">
        <v>0.27800000000000002</v>
      </c>
      <c r="E6">
        <f t="shared" si="2"/>
        <v>3.9714285714285716E-2</v>
      </c>
      <c r="F6">
        <v>6.15</v>
      </c>
      <c r="G6">
        <f t="shared" si="0"/>
        <v>4.8554571428571434</v>
      </c>
      <c r="H6">
        <f t="shared" si="1"/>
        <v>0.87802118315680711</v>
      </c>
    </row>
    <row r="7" spans="1:14" x14ac:dyDescent="0.2">
      <c r="A7" t="s">
        <v>8</v>
      </c>
      <c r="B7">
        <v>8.67</v>
      </c>
      <c r="C7">
        <v>13.54</v>
      </c>
      <c r="D7">
        <v>3.4000000000000002E-2</v>
      </c>
      <c r="E7">
        <f t="shared" si="2"/>
        <v>4.8571428571428576E-3</v>
      </c>
      <c r="F7">
        <v>18.93</v>
      </c>
      <c r="G7">
        <f t="shared" si="0"/>
        <v>14.091674285714285</v>
      </c>
      <c r="H7">
        <f t="shared" si="1"/>
        <v>1.625337287856319</v>
      </c>
    </row>
    <row r="8" spans="1:14" x14ac:dyDescent="0.2">
      <c r="A8" t="s">
        <v>15</v>
      </c>
      <c r="B8">
        <v>9.11</v>
      </c>
      <c r="C8">
        <v>5.22</v>
      </c>
      <c r="D8">
        <v>9.7000000000000003E-2</v>
      </c>
      <c r="E8">
        <f t="shared" si="2"/>
        <v>1.3857142857142858E-2</v>
      </c>
      <c r="F8">
        <v>8.5500000000000007</v>
      </c>
      <c r="G8">
        <f t="shared" si="0"/>
        <v>5.9308714285714288</v>
      </c>
      <c r="H8">
        <f t="shared" si="1"/>
        <v>0.65102869687941045</v>
      </c>
    </row>
    <row r="9" spans="1:14" x14ac:dyDescent="0.2">
      <c r="A9" t="s">
        <v>16</v>
      </c>
      <c r="B9">
        <v>9.8800000000000008</v>
      </c>
      <c r="C9">
        <v>9.14</v>
      </c>
      <c r="D9">
        <v>7.4999999999999997E-2</v>
      </c>
      <c r="E9">
        <f t="shared" si="2"/>
        <v>1.0714285714285714E-2</v>
      </c>
      <c r="F9">
        <v>11.43</v>
      </c>
      <c r="G9">
        <f t="shared" si="0"/>
        <v>9.8747857142857143</v>
      </c>
      <c r="H9">
        <f t="shared" si="1"/>
        <v>0.99947223828802767</v>
      </c>
    </row>
    <row r="10" spans="1:14" x14ac:dyDescent="0.2">
      <c r="A10" t="s">
        <v>12</v>
      </c>
      <c r="B10">
        <v>15.84</v>
      </c>
      <c r="C10">
        <v>15.93</v>
      </c>
      <c r="D10">
        <v>5.6000000000000001E-2</v>
      </c>
      <c r="E10">
        <f t="shared" si="2"/>
        <v>8.0000000000000002E-3</v>
      </c>
      <c r="F10">
        <v>21.85</v>
      </c>
      <c r="G10">
        <f t="shared" si="0"/>
        <v>16.9788</v>
      </c>
      <c r="H10">
        <f t="shared" si="1"/>
        <v>1.0718939393939393</v>
      </c>
    </row>
    <row r="11" spans="1:14" x14ac:dyDescent="0.2">
      <c r="A11" t="s">
        <v>7</v>
      </c>
      <c r="B11">
        <v>20.13</v>
      </c>
      <c r="C11">
        <v>18.510000000000002</v>
      </c>
      <c r="D11">
        <v>5.0999999999999997E-2</v>
      </c>
      <c r="E11">
        <f t="shared" si="2"/>
        <v>7.2857142857142851E-3</v>
      </c>
      <c r="F11">
        <v>22.6</v>
      </c>
      <c r="G11">
        <f t="shared" si="0"/>
        <v>19.49794285714286</v>
      </c>
      <c r="H11">
        <f t="shared" si="1"/>
        <v>0.96860123483074323</v>
      </c>
    </row>
    <row r="12" spans="1:14" x14ac:dyDescent="0.2">
      <c r="A12" t="s">
        <v>9</v>
      </c>
      <c r="B12">
        <v>22.11</v>
      </c>
      <c r="C12">
        <v>21.43</v>
      </c>
      <c r="D12">
        <v>4.2000000000000003E-2</v>
      </c>
      <c r="E12">
        <f t="shared" si="2"/>
        <v>6.0000000000000001E-3</v>
      </c>
      <c r="F12">
        <v>25.64</v>
      </c>
      <c r="G12">
        <f t="shared" si="0"/>
        <v>22.35304</v>
      </c>
      <c r="H12">
        <f t="shared" si="1"/>
        <v>1.0109923111714156</v>
      </c>
    </row>
    <row r="16" spans="1:14" x14ac:dyDescent="0.2">
      <c r="B16" s="1" t="s">
        <v>24</v>
      </c>
      <c r="C16" s="1" t="s">
        <v>19</v>
      </c>
      <c r="D16" t="s">
        <v>29</v>
      </c>
      <c r="E16" t="s">
        <v>23</v>
      </c>
      <c r="F16" t="s">
        <v>22</v>
      </c>
      <c r="G16" t="s">
        <v>30</v>
      </c>
      <c r="H16" t="s">
        <v>26</v>
      </c>
      <c r="I16" t="s">
        <v>20</v>
      </c>
      <c r="J16" t="s">
        <v>25</v>
      </c>
      <c r="K16" t="s">
        <v>21</v>
      </c>
      <c r="L16" t="s">
        <v>28</v>
      </c>
      <c r="M16" t="s">
        <v>27</v>
      </c>
      <c r="N16" t="s">
        <v>0</v>
      </c>
    </row>
    <row r="17" spans="1:14" x14ac:dyDescent="0.2">
      <c r="A17" t="s">
        <v>13</v>
      </c>
      <c r="B17">
        <v>1.64</v>
      </c>
      <c r="C17">
        <v>0.48</v>
      </c>
      <c r="D17">
        <v>0.29499999999999998</v>
      </c>
      <c r="E17">
        <v>1.79</v>
      </c>
      <c r="F17">
        <v>0.46</v>
      </c>
      <c r="G17">
        <v>0.25800000000000001</v>
      </c>
      <c r="H17">
        <v>0.53500000000000003</v>
      </c>
      <c r="I17">
        <f>H17/7</f>
        <v>7.6428571428571429E-2</v>
      </c>
      <c r="J17">
        <v>0.48899999999999999</v>
      </c>
      <c r="K17">
        <f>J17/7</f>
        <v>6.9857142857142854E-2</v>
      </c>
      <c r="L17">
        <f>C17+D17*(H17-I17)*B17</f>
        <v>0.70185685714285717</v>
      </c>
      <c r="M17">
        <f>F17+G17*(J17-K17)*E17</f>
        <v>0.65356855428571436</v>
      </c>
      <c r="N17">
        <f>M17/L17</f>
        <v>0.93119921481751067</v>
      </c>
    </row>
    <row r="18" spans="1:14" x14ac:dyDescent="0.2">
      <c r="B18">
        <v>16.54</v>
      </c>
      <c r="C18">
        <v>1.01</v>
      </c>
      <c r="D18">
        <v>0.14799999999999999</v>
      </c>
      <c r="E18">
        <v>20.48</v>
      </c>
      <c r="F18">
        <v>13.01</v>
      </c>
      <c r="G18">
        <v>0.64</v>
      </c>
      <c r="H18">
        <v>0.44400000000000001</v>
      </c>
      <c r="I18">
        <f t="shared" ref="I18:I27" si="3">H18/7</f>
        <v>6.3428571428571431E-2</v>
      </c>
      <c r="J18">
        <v>0.219</v>
      </c>
      <c r="K18">
        <f t="shared" ref="K18:K27" si="4">J18/7</f>
        <v>3.1285714285714285E-2</v>
      </c>
      <c r="L18">
        <f t="shared" ref="L18:L27" si="5">C18+D18*(H18-I18)*B18</f>
        <v>1.9416084114285712</v>
      </c>
      <c r="M18">
        <f t="shared" ref="M18:M27" si="6">F18+G18*(J18-K18)*E18</f>
        <v>15.470408685714286</v>
      </c>
      <c r="N18">
        <f t="shared" ref="N18:N27" si="7">M18/L18</f>
        <v>7.9678315126023129</v>
      </c>
    </row>
    <row r="19" spans="1:14" x14ac:dyDescent="0.2">
      <c r="A19" t="s">
        <v>10</v>
      </c>
      <c r="B19">
        <v>3.69</v>
      </c>
      <c r="C19">
        <v>2.77</v>
      </c>
      <c r="D19">
        <v>0.752</v>
      </c>
      <c r="E19">
        <v>3.5</v>
      </c>
      <c r="F19">
        <v>1.79</v>
      </c>
      <c r="G19">
        <v>0.51100000000000001</v>
      </c>
      <c r="H19">
        <v>0.16200000000000001</v>
      </c>
      <c r="I19">
        <f t="shared" si="3"/>
        <v>2.3142857142857142E-2</v>
      </c>
      <c r="J19">
        <v>0.29599999999999999</v>
      </c>
      <c r="K19">
        <f t="shared" si="4"/>
        <v>4.2285714285714281E-2</v>
      </c>
      <c r="L19">
        <f t="shared" si="5"/>
        <v>3.1553119085714285</v>
      </c>
      <c r="M19">
        <f t="shared" si="6"/>
        <v>2.2437680000000002</v>
      </c>
      <c r="N19">
        <f t="shared" si="7"/>
        <v>0.71110814557026436</v>
      </c>
    </row>
    <row r="20" spans="1:14" x14ac:dyDescent="0.2">
      <c r="A20" t="s">
        <v>14</v>
      </c>
      <c r="B20">
        <v>6.11</v>
      </c>
      <c r="C20">
        <v>4.7300000000000004</v>
      </c>
      <c r="D20">
        <v>0.77400000000000002</v>
      </c>
      <c r="E20">
        <v>5.3460000000000001</v>
      </c>
      <c r="F20">
        <v>3.44</v>
      </c>
      <c r="G20">
        <v>0.64300000000000002</v>
      </c>
      <c r="H20">
        <v>0.152</v>
      </c>
      <c r="I20">
        <f t="shared" si="3"/>
        <v>2.1714285714285714E-2</v>
      </c>
      <c r="J20">
        <v>0.156</v>
      </c>
      <c r="K20">
        <f t="shared" si="4"/>
        <v>2.2285714285714287E-2</v>
      </c>
      <c r="L20">
        <f t="shared" si="5"/>
        <v>5.3461393828571433</v>
      </c>
      <c r="M20">
        <f t="shared" si="6"/>
        <v>3.8996399154285712</v>
      </c>
      <c r="N20">
        <f t="shared" si="7"/>
        <v>0.72943102230613421</v>
      </c>
    </row>
    <row r="21" spans="1:14" x14ac:dyDescent="0.2">
      <c r="A21" t="s">
        <v>11</v>
      </c>
      <c r="B21">
        <v>6.72</v>
      </c>
      <c r="C21">
        <v>5.53</v>
      </c>
      <c r="D21">
        <v>0.82399999999999995</v>
      </c>
      <c r="E21">
        <v>6.15</v>
      </c>
      <c r="F21">
        <v>3.39</v>
      </c>
      <c r="G21">
        <v>0.55200000000000005</v>
      </c>
      <c r="H21">
        <v>0.13600000000000001</v>
      </c>
      <c r="I21">
        <f t="shared" si="3"/>
        <v>1.942857142857143E-2</v>
      </c>
      <c r="J21">
        <v>0.27800000000000002</v>
      </c>
      <c r="K21">
        <f t="shared" si="4"/>
        <v>3.9714285714285716E-2</v>
      </c>
      <c r="L21">
        <f t="shared" si="5"/>
        <v>6.1754886400000002</v>
      </c>
      <c r="M21">
        <f t="shared" si="6"/>
        <v>4.1989323428571428</v>
      </c>
      <c r="N21">
        <f t="shared" si="7"/>
        <v>0.67993523875337303</v>
      </c>
    </row>
    <row r="22" spans="1:14" x14ac:dyDescent="0.2">
      <c r="A22" t="s">
        <v>8</v>
      </c>
      <c r="B22">
        <v>21.1</v>
      </c>
      <c r="C22">
        <v>8.67</v>
      </c>
      <c r="D22">
        <v>0.41099999999999998</v>
      </c>
      <c r="E22">
        <v>18.93</v>
      </c>
      <c r="F22">
        <v>13.54</v>
      </c>
      <c r="G22">
        <v>0.71499999999999997</v>
      </c>
      <c r="H22">
        <v>0.34499999999999997</v>
      </c>
      <c r="I22">
        <f t="shared" si="3"/>
        <v>4.928571428571428E-2</v>
      </c>
      <c r="J22">
        <v>3.4000000000000002E-2</v>
      </c>
      <c r="K22">
        <f t="shared" si="4"/>
        <v>4.8571428571428576E-3</v>
      </c>
      <c r="L22">
        <f t="shared" si="5"/>
        <v>11.234463857142856</v>
      </c>
      <c r="M22">
        <f t="shared" si="6"/>
        <v>13.934447114285714</v>
      </c>
      <c r="N22">
        <f t="shared" si="7"/>
        <v>1.2403304057475082</v>
      </c>
    </row>
    <row r="23" spans="1:14" x14ac:dyDescent="0.2">
      <c r="A23" t="s">
        <v>15</v>
      </c>
      <c r="B23">
        <v>11.8</v>
      </c>
      <c r="C23">
        <v>9.11</v>
      </c>
      <c r="D23">
        <v>0.77200000000000002</v>
      </c>
      <c r="E23">
        <v>8.5500000000000007</v>
      </c>
      <c r="F23">
        <v>5.22</v>
      </c>
      <c r="G23">
        <v>0.61099999999999999</v>
      </c>
      <c r="H23">
        <v>0.11899999999999999</v>
      </c>
      <c r="I23">
        <f t="shared" si="3"/>
        <v>1.6999999999999998E-2</v>
      </c>
      <c r="J23">
        <v>9.7000000000000003E-2</v>
      </c>
      <c r="K23">
        <f t="shared" si="4"/>
        <v>1.3857142857142858E-2</v>
      </c>
      <c r="L23">
        <f t="shared" si="5"/>
        <v>10.0391792</v>
      </c>
      <c r="M23">
        <f t="shared" si="6"/>
        <v>5.6543424428571427</v>
      </c>
      <c r="N23">
        <f t="shared" si="7"/>
        <v>0.56322756374915017</v>
      </c>
    </row>
    <row r="24" spans="1:14" x14ac:dyDescent="0.2">
      <c r="A24" t="s">
        <v>16</v>
      </c>
      <c r="B24">
        <v>11.99</v>
      </c>
      <c r="C24">
        <v>9.8800000000000008</v>
      </c>
      <c r="D24">
        <v>0.82399999999999995</v>
      </c>
      <c r="E24">
        <v>11.43</v>
      </c>
      <c r="F24">
        <v>9.14</v>
      </c>
      <c r="G24">
        <v>0.79900000000000004</v>
      </c>
      <c r="H24">
        <v>0.112</v>
      </c>
      <c r="I24">
        <f t="shared" si="3"/>
        <v>1.6E-2</v>
      </c>
      <c r="J24">
        <v>7.4999999999999997E-2</v>
      </c>
      <c r="K24">
        <f t="shared" si="4"/>
        <v>1.0714285714285714E-2</v>
      </c>
      <c r="L24">
        <f t="shared" si="5"/>
        <v>10.82845696</v>
      </c>
      <c r="M24">
        <f t="shared" si="6"/>
        <v>9.7270937857142865</v>
      </c>
      <c r="N24">
        <f t="shared" si="7"/>
        <v>0.89828992456135559</v>
      </c>
    </row>
    <row r="25" spans="1:14" x14ac:dyDescent="0.2">
      <c r="A25" t="s">
        <v>12</v>
      </c>
      <c r="B25">
        <v>30.65</v>
      </c>
      <c r="C25">
        <v>15.84</v>
      </c>
      <c r="D25">
        <v>0.51700000000000002</v>
      </c>
      <c r="E25">
        <v>21.85</v>
      </c>
      <c r="F25">
        <v>15.93</v>
      </c>
      <c r="G25">
        <v>0.72899999999999998</v>
      </c>
      <c r="H25">
        <v>0.34799999999999998</v>
      </c>
      <c r="I25">
        <f t="shared" si="3"/>
        <v>4.9714285714285711E-2</v>
      </c>
      <c r="J25">
        <v>5.6000000000000001E-2</v>
      </c>
      <c r="K25">
        <f t="shared" si="4"/>
        <v>8.0000000000000002E-3</v>
      </c>
      <c r="L25">
        <f t="shared" si="5"/>
        <v>20.566650342857145</v>
      </c>
      <c r="M25">
        <f t="shared" si="6"/>
        <v>16.694575199999999</v>
      </c>
      <c r="N25">
        <f t="shared" si="7"/>
        <v>0.81173039467742358</v>
      </c>
    </row>
    <row r="26" spans="1:14" x14ac:dyDescent="0.2">
      <c r="A26" t="s">
        <v>7</v>
      </c>
      <c r="B26">
        <v>31.8</v>
      </c>
      <c r="C26">
        <v>20.13</v>
      </c>
      <c r="D26">
        <v>0.63300000000000001</v>
      </c>
      <c r="E26">
        <v>22.6</v>
      </c>
      <c r="F26">
        <v>18.510000000000002</v>
      </c>
      <c r="G26">
        <v>0.81899999999999995</v>
      </c>
      <c r="H26">
        <v>3.9E-2</v>
      </c>
      <c r="I26">
        <f t="shared" si="3"/>
        <v>5.5714285714285718E-3</v>
      </c>
      <c r="J26">
        <v>5.0999999999999997E-2</v>
      </c>
      <c r="K26">
        <f t="shared" si="4"/>
        <v>7.2857142857142851E-3</v>
      </c>
      <c r="L26">
        <f t="shared" si="5"/>
        <v>20.802897085714285</v>
      </c>
      <c r="M26">
        <f t="shared" si="6"/>
        <v>19.319125200000002</v>
      </c>
      <c r="N26">
        <f t="shared" si="7"/>
        <v>0.92867474757959478</v>
      </c>
    </row>
    <row r="27" spans="1:14" x14ac:dyDescent="0.2">
      <c r="A27" t="s">
        <v>9</v>
      </c>
      <c r="B27">
        <v>27.43</v>
      </c>
      <c r="C27">
        <v>22.53</v>
      </c>
      <c r="D27">
        <v>0.82099999999999995</v>
      </c>
      <c r="E27">
        <v>25.64</v>
      </c>
      <c r="F27">
        <v>21.43</v>
      </c>
      <c r="G27">
        <v>0.83599999999999997</v>
      </c>
      <c r="H27">
        <v>4.8000000000000001E-2</v>
      </c>
      <c r="I27">
        <f t="shared" si="3"/>
        <v>6.8571428571428577E-3</v>
      </c>
      <c r="J27">
        <v>4.2000000000000003E-2</v>
      </c>
      <c r="K27">
        <f t="shared" si="4"/>
        <v>6.0000000000000001E-3</v>
      </c>
      <c r="L27">
        <f t="shared" si="5"/>
        <v>23.456538377142859</v>
      </c>
      <c r="M27">
        <f t="shared" si="6"/>
        <v>22.201661439999999</v>
      </c>
      <c r="N27">
        <f t="shared" si="7"/>
        <v>0.9465020406265201</v>
      </c>
    </row>
    <row r="33" spans="1:24" x14ac:dyDescent="0.2">
      <c r="B33" s="3" t="s">
        <v>31</v>
      </c>
      <c r="C33" s="3" t="s">
        <v>39</v>
      </c>
      <c r="D33" s="4" t="s">
        <v>32</v>
      </c>
      <c r="E33" s="4" t="s">
        <v>33</v>
      </c>
      <c r="F33" s="4" t="s">
        <v>19</v>
      </c>
      <c r="G33" s="4" t="s">
        <v>37</v>
      </c>
      <c r="H33" s="4" t="s">
        <v>43</v>
      </c>
      <c r="I33" s="4" t="s">
        <v>42</v>
      </c>
      <c r="J33" s="3" t="s">
        <v>34</v>
      </c>
      <c r="K33" s="3" t="s">
        <v>40</v>
      </c>
      <c r="L33" s="4" t="s">
        <v>35</v>
      </c>
      <c r="M33" s="4" t="s">
        <v>36</v>
      </c>
      <c r="N33" s="4" t="s">
        <v>22</v>
      </c>
      <c r="O33" s="4" t="s">
        <v>38</v>
      </c>
      <c r="P33" s="4" t="s">
        <v>44</v>
      </c>
      <c r="Q33" s="4" t="s">
        <v>41</v>
      </c>
      <c r="R33" s="4" t="s">
        <v>45</v>
      </c>
      <c r="S33" s="4" t="s">
        <v>46</v>
      </c>
      <c r="T33" s="4" t="s">
        <v>47</v>
      </c>
      <c r="V33" s="5"/>
      <c r="W33" s="4" t="s">
        <v>49</v>
      </c>
      <c r="X33" s="4" t="s">
        <v>50</v>
      </c>
    </row>
    <row r="34" spans="1:24" x14ac:dyDescent="0.2">
      <c r="A34" s="4" t="s">
        <v>13</v>
      </c>
      <c r="B34">
        <v>4.2000000000000003E-2</v>
      </c>
      <c r="C34">
        <v>2.2000000000000001E-3</v>
      </c>
      <c r="D34">
        <v>0.29499999999999998</v>
      </c>
      <c r="E34">
        <v>0.53500000000000003</v>
      </c>
      <c r="F34">
        <f>(B34-C34)*D34*41.25</f>
        <v>0.48431625</v>
      </c>
      <c r="G34">
        <f>(B34-C34)*41.25</f>
        <v>1.64175</v>
      </c>
      <c r="H34">
        <f>D34/(1-6/7*(E34+W34))</f>
        <v>0.5474549310710497</v>
      </c>
      <c r="I34">
        <f>G34*H34</f>
        <v>0.89878413308589589</v>
      </c>
      <c r="J34">
        <v>4.4999999999999998E-2</v>
      </c>
      <c r="K34">
        <v>1.5E-3</v>
      </c>
      <c r="L34">
        <v>0.25800000000000001</v>
      </c>
      <c r="M34">
        <v>0.48899999999999999</v>
      </c>
      <c r="N34">
        <f>(J34-K34)*L34*41.25</f>
        <v>0.46294875000000002</v>
      </c>
      <c r="O34">
        <f>(J34-K34)*41.25</f>
        <v>1.7943749999999998</v>
      </c>
      <c r="P34">
        <f>L34/(1-6/7*(M34+X34))</f>
        <v>0.45354093420391756</v>
      </c>
      <c r="Q34">
        <f>P34*O34</f>
        <v>0.81382251381215454</v>
      </c>
      <c r="R34">
        <f>N34/F34*100</f>
        <v>95.588110041734097</v>
      </c>
      <c r="S34">
        <f>Q34/I34*100</f>
        <v>90.547049492069561</v>
      </c>
      <c r="T34">
        <f>S34-R34</f>
        <v>-5.041060549664536</v>
      </c>
      <c r="V34" s="4" t="s">
        <v>13</v>
      </c>
      <c r="W34" s="5">
        <v>3.0000000000000001E-3</v>
      </c>
      <c r="X34">
        <v>1.4E-2</v>
      </c>
    </row>
    <row r="35" spans="1:24" x14ac:dyDescent="0.2">
      <c r="A35" s="2"/>
      <c r="B35" s="2">
        <v>0.40200000000000002</v>
      </c>
      <c r="C35" s="2">
        <v>1.1000000000000001E-3</v>
      </c>
      <c r="D35" s="2">
        <v>0.14799999999999999</v>
      </c>
      <c r="E35" s="2">
        <v>0.44400000000000001</v>
      </c>
      <c r="F35" s="2">
        <f>(B35-C35)*D35*17.09</f>
        <v>1.014004388</v>
      </c>
      <c r="G35" s="2">
        <f>(B35-C35)*17.09</f>
        <v>6.8513810000000008</v>
      </c>
      <c r="H35">
        <f t="shared" ref="H35:H44" si="8">D35/(1-6/7*(E35+W35))</f>
        <v>0.25292968749999994</v>
      </c>
      <c r="I35" s="2">
        <f t="shared" ref="I35:I44" si="9">G35*H35</f>
        <v>1.7329176552734373</v>
      </c>
      <c r="J35" s="2">
        <v>0.4965</v>
      </c>
      <c r="K35" s="2"/>
      <c r="L35" s="2">
        <v>0.64</v>
      </c>
      <c r="M35" s="2">
        <v>0.219</v>
      </c>
      <c r="N35" s="2">
        <f t="shared" ref="N35:N44" si="10">(J35-K35)*L35*41.25</f>
        <v>13.1076</v>
      </c>
      <c r="O35" s="2">
        <f>(J35-K35)*41.25</f>
        <v>20.480625</v>
      </c>
      <c r="P35">
        <f t="shared" ref="P35:P44" si="11">L35/(1-6/7*(M35+X35))</f>
        <v>0.80229226361031525</v>
      </c>
      <c r="Q35" s="2">
        <f t="shared" ref="Q35:Q44" si="12">P35*O35</f>
        <v>16.431446991404012</v>
      </c>
      <c r="R35" s="2">
        <f t="shared" ref="R35:R44" si="13">N35/F35*100</f>
        <v>1292.6571280281285</v>
      </c>
      <c r="S35" s="2">
        <f t="shared" ref="S35:S44" si="14">Q35/I35*100</f>
        <v>948.19548646189378</v>
      </c>
      <c r="T35" s="2">
        <f t="shared" ref="T35:T44" si="15">S35-R35</f>
        <v>-344.46164156623468</v>
      </c>
      <c r="V35" s="2"/>
      <c r="W35" s="5">
        <v>0.04</v>
      </c>
      <c r="X35">
        <v>1.7000000000000001E-2</v>
      </c>
    </row>
    <row r="36" spans="1:24" x14ac:dyDescent="0.2">
      <c r="A36" s="4" t="s">
        <v>10</v>
      </c>
      <c r="B36">
        <v>9.0999999999999998E-2</v>
      </c>
      <c r="C36">
        <v>1.5E-3</v>
      </c>
      <c r="D36">
        <v>0.752</v>
      </c>
      <c r="E36">
        <v>0.16200000000000001</v>
      </c>
      <c r="F36">
        <f t="shared" ref="F36:F44" si="16">(B36-C36)*D36*41.25</f>
        <v>2.7762899999999999</v>
      </c>
      <c r="G36">
        <f t="shared" ref="G36:G44" si="17">(B36-C36)*41.25</f>
        <v>3.691875</v>
      </c>
      <c r="H36">
        <f t="shared" si="8"/>
        <v>0.87938523220848641</v>
      </c>
      <c r="I36">
        <f t="shared" si="9"/>
        <v>3.2465803541597058</v>
      </c>
      <c r="J36">
        <v>8.5999999999999993E-2</v>
      </c>
      <c r="K36">
        <v>1E-3</v>
      </c>
      <c r="L36">
        <v>0.51100000000000001</v>
      </c>
      <c r="M36">
        <v>0.29599999999999999</v>
      </c>
      <c r="N36">
        <f t="shared" si="10"/>
        <v>1.7916937499999999</v>
      </c>
      <c r="O36">
        <f t="shared" ref="O36:O44" si="18">(J36-K36)*41.25</f>
        <v>3.5062499999999996</v>
      </c>
      <c r="P36">
        <f t="shared" si="11"/>
        <v>0.70164770498234597</v>
      </c>
      <c r="Q36">
        <f t="shared" si="12"/>
        <v>2.4601522655943504</v>
      </c>
      <c r="R36">
        <f t="shared" si="13"/>
        <v>64.535540235350055</v>
      </c>
      <c r="S36">
        <f t="shared" si="14"/>
        <v>75.776724960534608</v>
      </c>
      <c r="T36">
        <f t="shared" si="15"/>
        <v>11.241184725184553</v>
      </c>
      <c r="V36" s="4" t="s">
        <v>10</v>
      </c>
      <c r="W36" s="5">
        <v>7.0000000000000001E-3</v>
      </c>
      <c r="X36">
        <v>2.1000000000000001E-2</v>
      </c>
    </row>
    <row r="37" spans="1:24" x14ac:dyDescent="0.2">
      <c r="A37" s="4" t="s">
        <v>14</v>
      </c>
      <c r="B37">
        <v>0.14949999999999999</v>
      </c>
      <c r="C37">
        <v>1.5E-3</v>
      </c>
      <c r="D37">
        <v>0.77400000000000002</v>
      </c>
      <c r="E37">
        <v>0.152</v>
      </c>
      <c r="F37">
        <f t="shared" si="16"/>
        <v>4.7252700000000001</v>
      </c>
      <c r="G37">
        <f t="shared" si="17"/>
        <v>6.1049999999999995</v>
      </c>
      <c r="H37">
        <f t="shared" si="8"/>
        <v>0.89970109598140147</v>
      </c>
      <c r="I37">
        <f t="shared" si="9"/>
        <v>5.4926751909664553</v>
      </c>
      <c r="J37">
        <v>0.1308</v>
      </c>
      <c r="K37">
        <v>1.1999999999999999E-3</v>
      </c>
      <c r="L37">
        <v>0.64300000000000002</v>
      </c>
      <c r="M37">
        <v>0.156</v>
      </c>
      <c r="N37">
        <f t="shared" si="10"/>
        <v>3.437478</v>
      </c>
      <c r="O37">
        <f t="shared" si="18"/>
        <v>5.3460000000000001</v>
      </c>
      <c r="P37">
        <f t="shared" si="11"/>
        <v>0.77683810838798761</v>
      </c>
      <c r="Q37">
        <f t="shared" si="12"/>
        <v>4.1529765274421822</v>
      </c>
      <c r="R37">
        <f t="shared" si="13"/>
        <v>72.746700188560652</v>
      </c>
      <c r="S37">
        <f t="shared" si="14"/>
        <v>75.609359429670761</v>
      </c>
      <c r="T37">
        <f t="shared" si="15"/>
        <v>2.8626592411101086</v>
      </c>
      <c r="V37" s="4" t="s">
        <v>14</v>
      </c>
      <c r="W37" s="5">
        <v>1.0999999999999999E-2</v>
      </c>
      <c r="X37">
        <v>4.4999999999999998E-2</v>
      </c>
    </row>
    <row r="38" spans="1:24" x14ac:dyDescent="0.2">
      <c r="A38" s="4" t="s">
        <v>11</v>
      </c>
      <c r="B38">
        <v>0.1643</v>
      </c>
      <c r="C38">
        <v>1.5E-3</v>
      </c>
      <c r="D38">
        <v>0.82399999999999995</v>
      </c>
      <c r="E38">
        <v>0.13600000000000001</v>
      </c>
      <c r="F38">
        <f t="shared" si="16"/>
        <v>5.5335719999999995</v>
      </c>
      <c r="G38">
        <f t="shared" si="17"/>
        <v>6.7154999999999996</v>
      </c>
      <c r="H38">
        <f t="shared" si="8"/>
        <v>0.93819128171763166</v>
      </c>
      <c r="I38">
        <f t="shared" si="9"/>
        <v>6.3004235523747552</v>
      </c>
      <c r="J38">
        <v>0.15</v>
      </c>
      <c r="K38">
        <v>1E-3</v>
      </c>
      <c r="L38">
        <v>0.55200000000000005</v>
      </c>
      <c r="M38">
        <v>0.27800000000000002</v>
      </c>
      <c r="N38">
        <f t="shared" si="10"/>
        <v>3.3927300000000002</v>
      </c>
      <c r="O38">
        <f t="shared" si="18"/>
        <v>6.1462499999999993</v>
      </c>
      <c r="P38">
        <f t="shared" si="11"/>
        <v>0.73126419379258145</v>
      </c>
      <c r="Q38">
        <f t="shared" si="12"/>
        <v>4.4945325510976533</v>
      </c>
      <c r="R38">
        <f t="shared" si="13"/>
        <v>61.311753059325881</v>
      </c>
      <c r="S38">
        <f t="shared" si="14"/>
        <v>71.336990501274698</v>
      </c>
      <c r="T38">
        <f t="shared" si="15"/>
        <v>10.025237441948818</v>
      </c>
      <c r="V38" s="4" t="s">
        <v>11</v>
      </c>
      <c r="W38" s="5">
        <v>6.0000000000000001E-3</v>
      </c>
      <c r="X38">
        <v>8.0000000000000002E-3</v>
      </c>
    </row>
    <row r="39" spans="1:24" x14ac:dyDescent="0.2">
      <c r="A39" s="4" t="s">
        <v>8</v>
      </c>
      <c r="B39">
        <v>0.51300000000000001</v>
      </c>
      <c r="D39">
        <v>0.41099999999999998</v>
      </c>
      <c r="E39">
        <v>0.34499999999999997</v>
      </c>
      <c r="F39">
        <f t="shared" si="16"/>
        <v>8.6972737500000008</v>
      </c>
      <c r="G39">
        <f t="shared" si="17"/>
        <v>21.161249999999999</v>
      </c>
      <c r="H39">
        <f t="shared" si="8"/>
        <v>0.59075975359342914</v>
      </c>
      <c r="I39">
        <f t="shared" si="9"/>
        <v>12.501214835728952</v>
      </c>
      <c r="J39">
        <v>0.46050000000000002</v>
      </c>
      <c r="K39">
        <v>1.5E-3</v>
      </c>
      <c r="L39">
        <v>0.71499999999999997</v>
      </c>
      <c r="M39">
        <v>3.4000000000000002E-2</v>
      </c>
      <c r="N39">
        <f>(J39-K39)*L39*41.25</f>
        <v>13.53763125</v>
      </c>
      <c r="O39">
        <f t="shared" si="18"/>
        <v>18.93375</v>
      </c>
      <c r="P39">
        <f t="shared" si="11"/>
        <v>0.76412213740458013</v>
      </c>
      <c r="Q39">
        <f t="shared" si="12"/>
        <v>14.467697519083968</v>
      </c>
      <c r="R39">
        <f>N39/F39*100</f>
        <v>155.6537328723268</v>
      </c>
      <c r="S39">
        <f t="shared" si="14"/>
        <v>115.73033268522619</v>
      </c>
      <c r="T39">
        <f t="shared" si="15"/>
        <v>-39.923400187100611</v>
      </c>
      <c r="V39" s="4" t="s">
        <v>8</v>
      </c>
      <c r="W39" s="5">
        <v>0.01</v>
      </c>
      <c r="X39">
        <v>4.1000000000000002E-2</v>
      </c>
    </row>
    <row r="40" spans="1:24" x14ac:dyDescent="0.2">
      <c r="A40" s="4" t="s">
        <v>15</v>
      </c>
      <c r="B40">
        <v>0.28799999999999998</v>
      </c>
      <c r="C40">
        <v>2E-3</v>
      </c>
      <c r="D40">
        <v>0.77200000000000002</v>
      </c>
      <c r="E40">
        <v>0.11899999999999999</v>
      </c>
      <c r="F40">
        <f t="shared" si="16"/>
        <v>9.1076699999999988</v>
      </c>
      <c r="G40">
        <f t="shared" si="17"/>
        <v>11.797499999999999</v>
      </c>
      <c r="H40">
        <f t="shared" si="8"/>
        <v>0.86298307250079853</v>
      </c>
      <c r="I40">
        <f t="shared" si="9"/>
        <v>10.181042797828169</v>
      </c>
      <c r="J40">
        <v>0.20899999999999999</v>
      </c>
      <c r="K40">
        <v>1.6999999999999999E-3</v>
      </c>
      <c r="L40">
        <v>0.61099999999999999</v>
      </c>
      <c r="M40">
        <v>9.7000000000000003E-2</v>
      </c>
      <c r="N40">
        <f t="shared" ref="N40:N44" si="19">(J40-K40)*L40*41.25</f>
        <v>5.2247373749999992</v>
      </c>
      <c r="O40">
        <f t="shared" si="18"/>
        <v>8.551124999999999</v>
      </c>
      <c r="P40">
        <f t="shared" si="11"/>
        <v>0.67910447761194026</v>
      </c>
      <c r="Q40">
        <f t="shared" si="12"/>
        <v>5.8071072761194023</v>
      </c>
      <c r="R40">
        <f t="shared" si="13"/>
        <v>57.366344795101277</v>
      </c>
      <c r="S40">
        <f t="shared" si="14"/>
        <v>57.038433011578938</v>
      </c>
      <c r="T40">
        <f t="shared" si="15"/>
        <v>-0.32791178352233885</v>
      </c>
      <c r="V40" s="4" t="s">
        <v>15</v>
      </c>
      <c r="W40" s="5">
        <v>4.0000000000000001E-3</v>
      </c>
      <c r="X40">
        <v>0.02</v>
      </c>
    </row>
    <row r="41" spans="1:24" x14ac:dyDescent="0.2">
      <c r="A41" s="4" t="s">
        <v>16</v>
      </c>
      <c r="B41">
        <v>0.29299999999999998</v>
      </c>
      <c r="C41">
        <v>2.3E-3</v>
      </c>
      <c r="D41">
        <v>0.82399999999999995</v>
      </c>
      <c r="E41">
        <v>0.112</v>
      </c>
      <c r="F41">
        <f t="shared" si="16"/>
        <v>9.8808929999999986</v>
      </c>
      <c r="G41">
        <f t="shared" si="17"/>
        <v>11.991374999999998</v>
      </c>
      <c r="H41">
        <f t="shared" si="8"/>
        <v>0.92376681614349765</v>
      </c>
      <c r="I41">
        <f t="shared" si="9"/>
        <v>11.077234304932732</v>
      </c>
      <c r="J41">
        <v>0.27900000000000003</v>
      </c>
      <c r="K41">
        <v>1.6999999999999999E-3</v>
      </c>
      <c r="L41">
        <v>0.79900000000000004</v>
      </c>
      <c r="M41">
        <v>7.4999999999999997E-2</v>
      </c>
      <c r="N41">
        <f t="shared" si="19"/>
        <v>9.1394613750000016</v>
      </c>
      <c r="O41">
        <f t="shared" si="18"/>
        <v>11.438625000000002</v>
      </c>
      <c r="P41">
        <f t="shared" si="11"/>
        <v>0.87967914438502681</v>
      </c>
      <c r="Q41">
        <f t="shared" si="12"/>
        <v>10.062319852941179</v>
      </c>
      <c r="R41">
        <f t="shared" si="13"/>
        <v>92.496309544086785</v>
      </c>
      <c r="S41">
        <f t="shared" si="14"/>
        <v>90.837835293060394</v>
      </c>
      <c r="T41">
        <f t="shared" si="15"/>
        <v>-1.6584742510263908</v>
      </c>
      <c r="V41" s="4" t="s">
        <v>16</v>
      </c>
      <c r="W41" s="5">
        <v>1.4E-2</v>
      </c>
      <c r="X41">
        <v>3.2000000000000001E-2</v>
      </c>
    </row>
    <row r="42" spans="1:24" x14ac:dyDescent="0.2">
      <c r="A42" s="4" t="s">
        <v>12</v>
      </c>
      <c r="B42">
        <v>0.749</v>
      </c>
      <c r="C42">
        <v>6.0000000000000001E-3</v>
      </c>
      <c r="D42">
        <v>0.51700000000000002</v>
      </c>
      <c r="E42">
        <v>0.34799999999999998</v>
      </c>
      <c r="F42">
        <f t="shared" si="16"/>
        <v>15.845403749999999</v>
      </c>
      <c r="G42">
        <f t="shared" si="17"/>
        <v>30.64875</v>
      </c>
      <c r="H42">
        <f t="shared" si="8"/>
        <v>0.73947691050265629</v>
      </c>
      <c r="I42">
        <f t="shared" si="9"/>
        <v>22.664042960768288</v>
      </c>
      <c r="J42">
        <v>0.53090000000000004</v>
      </c>
      <c r="K42">
        <v>1.1000000000000001E-3</v>
      </c>
      <c r="L42">
        <v>0.72899999999999998</v>
      </c>
      <c r="M42">
        <v>5.6000000000000001E-2</v>
      </c>
      <c r="N42">
        <f t="shared" si="19"/>
        <v>15.93174825</v>
      </c>
      <c r="O42">
        <f t="shared" si="18"/>
        <v>21.85425</v>
      </c>
      <c r="P42">
        <f t="shared" si="11"/>
        <v>0.7826687116564417</v>
      </c>
      <c r="Q42">
        <f t="shared" si="12"/>
        <v>17.104637691717791</v>
      </c>
      <c r="R42">
        <f t="shared" si="13"/>
        <v>100.54491827006933</v>
      </c>
      <c r="S42">
        <f t="shared" si="14"/>
        <v>75.470372701490689</v>
      </c>
      <c r="T42">
        <f t="shared" si="15"/>
        <v>-25.074545568578642</v>
      </c>
      <c r="V42" s="4" t="s">
        <v>12</v>
      </c>
      <c r="W42" s="5">
        <v>3.0000000000000001E-3</v>
      </c>
      <c r="X42">
        <v>2.4E-2</v>
      </c>
    </row>
    <row r="43" spans="1:24" x14ac:dyDescent="0.2">
      <c r="A43" s="4" t="s">
        <v>7</v>
      </c>
      <c r="B43">
        <v>0.77400000000000002</v>
      </c>
      <c r="C43">
        <v>3.0000000000000001E-3</v>
      </c>
      <c r="D43">
        <v>0.63300000000000001</v>
      </c>
      <c r="E43">
        <v>3.9E-2</v>
      </c>
      <c r="F43">
        <f t="shared" si="16"/>
        <v>20.131773750000001</v>
      </c>
      <c r="G43">
        <f t="shared" si="17"/>
        <v>31.803750000000001</v>
      </c>
      <c r="H43">
        <f t="shared" si="8"/>
        <v>0.65722337585286261</v>
      </c>
      <c r="I43">
        <f t="shared" si="9"/>
        <v>20.90216793978048</v>
      </c>
      <c r="J43">
        <v>0.54900000000000004</v>
      </c>
      <c r="K43">
        <v>1.1999999999999999E-3</v>
      </c>
      <c r="L43">
        <v>0.81899999999999995</v>
      </c>
      <c r="M43">
        <v>5.0999999999999997E-2</v>
      </c>
      <c r="N43">
        <f t="shared" si="19"/>
        <v>18.506738250000001</v>
      </c>
      <c r="O43">
        <f t="shared" si="18"/>
        <v>22.596750000000004</v>
      </c>
      <c r="P43">
        <f t="shared" si="11"/>
        <v>0.87848605577689243</v>
      </c>
      <c r="Q43">
        <f t="shared" si="12"/>
        <v>19.850929780876498</v>
      </c>
      <c r="R43">
        <f t="shared" si="13"/>
        <v>91.928006343703331</v>
      </c>
      <c r="S43">
        <f t="shared" si="14"/>
        <v>94.970674037580139</v>
      </c>
      <c r="T43">
        <f t="shared" si="15"/>
        <v>3.0426676938768082</v>
      </c>
      <c r="V43" s="4" t="s">
        <v>7</v>
      </c>
      <c r="W43" s="5">
        <v>4.0000000000000001E-3</v>
      </c>
      <c r="X43">
        <v>2.8000000000000001E-2</v>
      </c>
    </row>
    <row r="44" spans="1:24" x14ac:dyDescent="0.2">
      <c r="A44" s="4" t="s">
        <v>9</v>
      </c>
      <c r="B44">
        <v>0.67</v>
      </c>
      <c r="C44">
        <v>4.7999999999999996E-3</v>
      </c>
      <c r="D44">
        <v>0.82099999999999995</v>
      </c>
      <c r="E44">
        <v>4.8000000000000001E-2</v>
      </c>
      <c r="F44">
        <f t="shared" si="16"/>
        <v>22.527829499999999</v>
      </c>
      <c r="G44">
        <f t="shared" si="17"/>
        <v>27.439499999999999</v>
      </c>
      <c r="H44">
        <f t="shared" si="8"/>
        <v>0.85622765196662687</v>
      </c>
      <c r="I44">
        <f t="shared" si="9"/>
        <v>23.494458656138256</v>
      </c>
      <c r="J44">
        <v>0.62270000000000003</v>
      </c>
      <c r="K44">
        <v>1.1999999999999999E-3</v>
      </c>
      <c r="L44">
        <v>0.83599999999999997</v>
      </c>
      <c r="M44">
        <v>4.2000000000000003E-2</v>
      </c>
      <c r="N44">
        <f t="shared" si="19"/>
        <v>21.432427499999999</v>
      </c>
      <c r="O44">
        <f t="shared" si="18"/>
        <v>25.636875000000003</v>
      </c>
      <c r="P44">
        <f t="shared" si="11"/>
        <v>0.89920098340503996</v>
      </c>
      <c r="Q44">
        <f t="shared" si="12"/>
        <v>23.052703211432085</v>
      </c>
      <c r="R44">
        <f t="shared" si="13"/>
        <v>95.137560855563123</v>
      </c>
      <c r="S44">
        <f t="shared" si="14"/>
        <v>98.119746229646552</v>
      </c>
      <c r="T44">
        <f t="shared" si="15"/>
        <v>2.9821853740834285</v>
      </c>
      <c r="V44" s="4" t="s">
        <v>9</v>
      </c>
      <c r="W44" s="5"/>
      <c r="X44">
        <v>0.04</v>
      </c>
    </row>
    <row r="45" spans="1:24" x14ac:dyDescent="0.2">
      <c r="U45" s="5"/>
      <c r="V45" s="5"/>
    </row>
    <row r="56" spans="9:9" x14ac:dyDescent="0.2">
      <c r="I56" t="s">
        <v>48</v>
      </c>
    </row>
  </sheetData>
  <phoneticPr fontId="2" type="noConversion"/>
  <conditionalFormatting sqref="O20">
    <cfRule type="colorScale" priority="1">
      <colorScale>
        <cfvo type="formula" val="MOD(ROW(),2)=0"/>
        <cfvo type="max"/>
        <color theme="0" tint="-0.14999847407452621"/>
        <color theme="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volume_v_recovery</vt:lpstr>
      <vt:lpstr>volume_v_recovery_adjusted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Ruki Y</dc:creator>
  <cp:lastModifiedBy>Ruki Y</cp:lastModifiedBy>
  <dcterms:created xsi:type="dcterms:W3CDTF">2026-08-20T08:48:20Z</dcterms:created>
  <dcterms:modified xsi:type="dcterms:W3CDTF">2026-09-08T10:01:14Z</dcterms:modified>
</cp:coreProperties>
</file>